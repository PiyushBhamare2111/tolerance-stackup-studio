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ck-up" sheetId="1" state="visible" r:id="rId1"/>
    <sheet name="Monte Carlo" sheetId="2" state="visible" r:id="rId2"/>
    <sheet name="PFMEA" sheetId="3" state="visible" r:id="rId3"/>
    <sheet name="Control Plan" sheetId="4" state="visible" r:id="rId4"/>
    <sheet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0000"/>
    <numFmt numFmtId="167" formatCode="0.000"/>
  </numFmts>
  <fonts count="5">
    <font>
      <name val="Calibri"/>
      <family val="2"/>
      <color theme="1"/>
      <sz val="11"/>
      <scheme val="minor"/>
    </font>
    <font>
      <b val="1"/>
      <color rgb="00FF8A3D"/>
      <sz val="14"/>
    </font>
    <font>
      <b val="1"/>
      <color rgb="00FFFFFF"/>
    </font>
    <font>
      <b val="1"/>
    </font>
    <font>
      <b val="1"/>
      <color rgb="00FF8A3D"/>
      <sz val="12"/>
    </font>
  </fonts>
  <fills count="5">
    <fill>
      <patternFill/>
    </fill>
    <fill>
      <patternFill patternType="gray125"/>
    </fill>
    <fill>
      <patternFill patternType="solid">
        <fgColor rgb="00FFF4EC"/>
      </patternFill>
    </fill>
    <fill>
      <patternFill patternType="solid">
        <fgColor rgb="0014161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2" borderId="1" pivotButton="0" quotePrefix="0" xfId="0"/>
    <xf numFmtId="164" fontId="0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67" fontId="0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Shaft end play stack-up</t>
        </is>
      </c>
    </row>
    <row r="2">
      <c r="A2" t="inlineStr">
        <is>
          <t>Orange cells are inputs. Everything else is a formula: edit a tolerance and the results update.</t>
        </is>
      </c>
    </row>
    <row r="3">
      <c r="A3" t="inlineStr">
        <is>
          <t>Gap LSL</t>
        </is>
      </c>
      <c r="B3" s="2" t="n">
        <v>0.1</v>
      </c>
    </row>
    <row r="4">
      <c r="A4" t="inlineStr">
        <is>
          <t>Gap USL</t>
        </is>
      </c>
      <c r="B4" s="2" t="n">
        <v>0.6</v>
      </c>
    </row>
    <row r="6">
      <c r="A6" s="3" t="inlineStr">
        <is>
          <t>Dimension</t>
        </is>
      </c>
      <c r="B6" s="3" t="inlineStr">
        <is>
          <t>Source</t>
        </is>
      </c>
      <c r="C6" s="3" t="inlineStr">
        <is>
          <t>Direction (+1/-1)</t>
        </is>
      </c>
      <c r="D6" s="3" t="inlineStr">
        <is>
          <t>Nominal</t>
        </is>
      </c>
      <c r="E6" s="3" t="inlineStr">
        <is>
          <t>Upper dev</t>
        </is>
      </c>
      <c r="F6" s="3" t="inlineStr">
        <is>
          <t>Lower dev</t>
        </is>
      </c>
      <c r="G6" s="3" t="inlineStr">
        <is>
          <t>Assumed Cp</t>
        </is>
      </c>
      <c r="H6" s="3" t="inlineStr">
        <is>
          <t>Distribution</t>
        </is>
      </c>
      <c r="I6" s="3" t="inlineStr">
        <is>
          <t>Mean</t>
        </is>
      </c>
      <c r="J6" s="3" t="inlineStr">
        <is>
          <t>Half tol (t)</t>
        </is>
      </c>
      <c r="K6" s="3" t="inlineStr">
        <is>
          <t>Sigma</t>
        </is>
      </c>
      <c r="L6" s="3" t="inlineStr">
        <is>
          <t>Dir x Mean</t>
        </is>
      </c>
      <c r="M6" s="3" t="inlineStr">
        <is>
          <t>t²</t>
        </is>
      </c>
      <c r="N6" s="3" t="inlineStr">
        <is>
          <t>σ²</t>
        </is>
      </c>
      <c r="O6" s="3" t="inlineStr">
        <is>
          <t>Worst-case %</t>
        </is>
      </c>
      <c r="P6" s="3" t="inlineStr">
        <is>
          <t>Statistical %</t>
        </is>
      </c>
    </row>
    <row r="7">
      <c r="A7" s="4" t="inlineStr">
        <is>
          <t>Housing bore depth (A)</t>
        </is>
      </c>
      <c r="B7" s="4" t="inlineStr">
        <is>
          <t>HSG-101 dim 4 (CNC bored)</t>
        </is>
      </c>
      <c r="C7" s="4" t="n">
        <v>1</v>
      </c>
      <c r="D7" s="5" t="n">
        <v>53.28</v>
      </c>
      <c r="E7" s="5" t="n">
        <v>0.08</v>
      </c>
      <c r="F7" s="5" t="n">
        <v>-0.08</v>
      </c>
      <c r="G7" s="5" t="n">
        <v>1.33</v>
      </c>
      <c r="H7" s="5" t="inlineStr">
        <is>
          <t>normal</t>
        </is>
      </c>
      <c r="I7" s="6">
        <f>D7+(E7+F7)/2</f>
        <v/>
      </c>
      <c r="J7" s="6">
        <f>(E7-F7)/2</f>
        <v/>
      </c>
      <c r="K7" s="6">
        <f>IF(H7="uniform",J7/SQRT(3),J7/(3*G7))</f>
        <v/>
      </c>
      <c r="L7" s="6">
        <f>C7*I7</f>
        <v/>
      </c>
      <c r="M7" s="6">
        <f>J7^2</f>
        <v/>
      </c>
      <c r="N7" s="6">
        <f>K7^2</f>
        <v/>
      </c>
      <c r="O7" s="7">
        <f>J7/SUM($J$7:$J$10)</f>
        <v/>
      </c>
      <c r="P7" s="7">
        <f>N7/SUM($N$7:$N$10)</f>
        <v/>
      </c>
    </row>
    <row r="8">
      <c r="A8" s="4" t="inlineStr">
        <is>
          <t>Bearing 1 width (B)</t>
        </is>
      </c>
      <c r="B8" s="4" t="inlineStr">
        <is>
          <t>6204 bearing - ISO 492 Normal class</t>
        </is>
      </c>
      <c r="C8" s="4" t="n">
        <v>-1</v>
      </c>
      <c r="D8" s="5" t="n">
        <v>14</v>
      </c>
      <c r="E8" s="5" t="n">
        <v>0</v>
      </c>
      <c r="F8" s="5" t="n">
        <v>-0.12</v>
      </c>
      <c r="G8" s="5" t="n">
        <v>1</v>
      </c>
      <c r="H8" s="5" t="inlineStr">
        <is>
          <t>normal</t>
        </is>
      </c>
      <c r="I8" s="6">
        <f>D8+(E8+F8)/2</f>
        <v/>
      </c>
      <c r="J8" s="6">
        <f>(E8-F8)/2</f>
        <v/>
      </c>
      <c r="K8" s="6">
        <f>IF(H8="uniform",J8/SQRT(3),J8/(3*G8))</f>
        <v/>
      </c>
      <c r="L8" s="6">
        <f>C8*I8</f>
        <v/>
      </c>
      <c r="M8" s="6">
        <f>J8^2</f>
        <v/>
      </c>
      <c r="N8" s="6">
        <f>K8^2</f>
        <v/>
      </c>
      <c r="O8" s="7">
        <f>J8/SUM($J$7:$J$10)</f>
        <v/>
      </c>
      <c r="P8" s="7">
        <f>N8/SUM($N$7:$N$10)</f>
        <v/>
      </c>
    </row>
    <row r="9">
      <c r="A9" s="4" t="inlineStr">
        <is>
          <t>Spacer length (C)</t>
        </is>
      </c>
      <c r="B9" s="4" t="inlineStr">
        <is>
          <t>SPC-102 dim 2 (CNC turned)</t>
        </is>
      </c>
      <c r="C9" s="4" t="n">
        <v>-1</v>
      </c>
      <c r="D9" s="5" t="n">
        <v>25</v>
      </c>
      <c r="E9" s="5" t="n">
        <v>0.05</v>
      </c>
      <c r="F9" s="5" t="n">
        <v>-0.05</v>
      </c>
      <c r="G9" s="5" t="n">
        <v>1.33</v>
      </c>
      <c r="H9" s="5" t="inlineStr">
        <is>
          <t>normal</t>
        </is>
      </c>
      <c r="I9" s="6">
        <f>D9+(E9+F9)/2</f>
        <v/>
      </c>
      <c r="J9" s="6">
        <f>(E9-F9)/2</f>
        <v/>
      </c>
      <c r="K9" s="6">
        <f>IF(H9="uniform",J9/SQRT(3),J9/(3*G9))</f>
        <v/>
      </c>
      <c r="L9" s="6">
        <f>C9*I9</f>
        <v/>
      </c>
      <c r="M9" s="6">
        <f>J9^2</f>
        <v/>
      </c>
      <c r="N9" s="6">
        <f>K9^2</f>
        <v/>
      </c>
      <c r="O9" s="7">
        <f>J9/SUM($J$7:$J$10)</f>
        <v/>
      </c>
      <c r="P9" s="7">
        <f>N9/SUM($N$7:$N$10)</f>
        <v/>
      </c>
    </row>
    <row r="10">
      <c r="A10" s="4" t="inlineStr">
        <is>
          <t>Bearing 2 width (D)</t>
        </is>
      </c>
      <c r="B10" s="4" t="inlineStr">
        <is>
          <t>6204 bearing - ISO 492 Normal class</t>
        </is>
      </c>
      <c r="C10" s="4" t="n">
        <v>-1</v>
      </c>
      <c r="D10" s="5" t="n">
        <v>14</v>
      </c>
      <c r="E10" s="5" t="n">
        <v>0</v>
      </c>
      <c r="F10" s="5" t="n">
        <v>-0.12</v>
      </c>
      <c r="G10" s="5" t="n">
        <v>1</v>
      </c>
      <c r="H10" s="5" t="inlineStr">
        <is>
          <t>normal</t>
        </is>
      </c>
      <c r="I10" s="6">
        <f>D10+(E10+F10)/2</f>
        <v/>
      </c>
      <c r="J10" s="6">
        <f>(E10-F10)/2</f>
        <v/>
      </c>
      <c r="K10" s="6">
        <f>IF(H10="uniform",J10/SQRT(3),J10/(3*G10))</f>
        <v/>
      </c>
      <c r="L10" s="6">
        <f>C10*I10</f>
        <v/>
      </c>
      <c r="M10" s="6">
        <f>J10^2</f>
        <v/>
      </c>
      <c r="N10" s="6">
        <f>K10^2</f>
        <v/>
      </c>
      <c r="O10" s="7">
        <f>J10/SUM($J$7:$J$10)</f>
        <v/>
      </c>
      <c r="P10" s="7">
        <f>N10/SUM($N$7:$N$10)</f>
        <v/>
      </c>
    </row>
    <row r="12">
      <c r="A12" s="8" t="inlineStr">
        <is>
          <t>Nominal gap</t>
        </is>
      </c>
      <c r="B12" s="6">
        <f>SUMPRODUCT(C7:C10,D7:D10)</f>
        <v/>
      </c>
    </row>
    <row r="13">
      <c r="A13" s="8" t="inlineStr">
        <is>
          <t>Mean gap</t>
        </is>
      </c>
      <c r="B13" s="6">
        <f>SUM(L7:L10)</f>
        <v/>
      </c>
    </row>
    <row r="14">
      <c r="A14" s="8" t="inlineStr">
        <is>
          <t>Worst-case ± (Σt)</t>
        </is>
      </c>
      <c r="B14" s="6">
        <f>SUM(J7:J10)</f>
        <v/>
      </c>
    </row>
    <row r="15">
      <c r="A15" s="8" t="inlineStr">
        <is>
          <t>Worst-case min</t>
        </is>
      </c>
      <c r="B15" s="6">
        <f>B13-B14</f>
        <v/>
      </c>
    </row>
    <row r="16">
      <c r="A16" s="8" t="inlineStr">
        <is>
          <t>Worst-case max</t>
        </is>
      </c>
      <c r="B16" s="6">
        <f>B13+B14</f>
        <v/>
      </c>
    </row>
    <row r="17">
      <c r="A17" s="8" t="inlineStr">
        <is>
          <t>Worst-case verdict</t>
        </is>
      </c>
      <c r="B17" s="9">
        <f>IF(AND(B15&gt;=$B$3,B16&lt;=$B$4),"PASS","FAIL")</f>
        <v/>
      </c>
    </row>
    <row r="18">
      <c r="A18" s="8" t="inlineStr">
        <is>
          <t>RSS ± (√Σt²)</t>
        </is>
      </c>
      <c r="B18" s="6">
        <f>SQRT(SUM(M7:M10))</f>
        <v/>
      </c>
    </row>
    <row r="19">
      <c r="A19" s="8" t="inlineStr">
        <is>
          <t>RSS min</t>
        </is>
      </c>
      <c r="B19" s="6">
        <f>B13-B18</f>
        <v/>
      </c>
    </row>
    <row r="20">
      <c r="A20" s="8" t="inlineStr">
        <is>
          <t>RSS max</t>
        </is>
      </c>
      <c r="B20" s="6">
        <f>B13+B18</f>
        <v/>
      </c>
    </row>
    <row r="21">
      <c r="A21" s="8" t="inlineStr">
        <is>
          <t>RSS verdict</t>
        </is>
      </c>
      <c r="B21" s="9">
        <f>IF(AND(B19&gt;=$B$3,B20&lt;=$B$4),"PASS","FAIL")</f>
        <v/>
      </c>
    </row>
    <row r="22">
      <c r="A22" s="8" t="inlineStr">
        <is>
          <t>Gap sigma (√Σσ²)</t>
        </is>
      </c>
      <c r="B22" s="10">
        <f>SQRT(SUM(N7:N10))</f>
        <v/>
      </c>
    </row>
    <row r="23">
      <c r="A23" s="8" t="inlineStr">
        <is>
          <t>Predicted gap Cpk</t>
        </is>
      </c>
      <c r="B23" s="11">
        <f>MIN($B$4-B13,B13-$B$3)/(3*B22)</f>
        <v/>
      </c>
    </row>
    <row r="24">
      <c r="A24" s="8" t="inlineStr">
        <is>
          <t>Predicted PPM out of spec</t>
        </is>
      </c>
      <c r="B24" s="12">
        <f>(_xlfn.NORM.DIST($B$3,B13,B22,TRUE)+_xlfn.NORM.DIST(2*B13-$B$4,B13,B22,TRUE))*1000000</f>
        <v/>
      </c>
    </row>
  </sheetData>
  <conditionalFormatting sqref="B17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B21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3" t="inlineStr">
        <is>
          <t>Monte Carlo summary (static values from Python, not live formulas)</t>
        </is>
      </c>
    </row>
    <row r="3">
      <c r="A3" s="8" t="inlineStr">
        <is>
          <t>Samples</t>
        </is>
      </c>
      <c r="B3" s="14" t="n">
        <v>200000</v>
      </c>
    </row>
    <row r="4">
      <c r="A4" s="8" t="inlineStr">
        <is>
          <t>Mean gap</t>
        </is>
      </c>
      <c r="B4" s="15" t="n">
        <v>0.3999543922315862</v>
      </c>
    </row>
    <row r="5">
      <c r="A5" s="8" t="inlineStr">
        <is>
          <t>Std dev</t>
        </is>
      </c>
      <c r="B5" s="15" t="n">
        <v>0.036877009420266</v>
      </c>
    </row>
    <row r="6">
      <c r="A6" s="8" t="inlineStr">
        <is>
          <t>0.135th percentile</t>
        </is>
      </c>
      <c r="B6" s="15" t="n">
        <v>0.2887574846448912</v>
      </c>
    </row>
    <row r="7">
      <c r="A7" s="8" t="inlineStr">
        <is>
          <t>99.865th percentile</t>
        </is>
      </c>
      <c r="B7" s="15" t="n">
        <v>0.5099630026594381</v>
      </c>
    </row>
    <row r="8">
      <c r="A8" s="8" t="inlineStr">
        <is>
          <t>PPM below LSL</t>
        </is>
      </c>
      <c r="B8" s="15" t="n">
        <v>0</v>
      </c>
    </row>
    <row r="9">
      <c r="A9" s="8" t="inlineStr">
        <is>
          <t>PPM above USL</t>
        </is>
      </c>
      <c r="B9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26" customWidth="1" min="4" max="4"/>
    <col width="32" customWidth="1" min="5" max="5"/>
    <col width="5" customWidth="1" min="6" max="6"/>
    <col width="26" customWidth="1" min="7" max="7"/>
    <col width="5" customWidth="1" min="8" max="8"/>
    <col width="26" customWidth="1" min="9" max="9"/>
    <col width="24" customWidth="1" min="10" max="10"/>
    <col width="5" customWidth="1" min="11" max="11"/>
    <col width="7" customWidth="1" min="12" max="12"/>
    <col width="10" customWidth="1" min="13" max="13"/>
    <col width="7" customWidth="1" min="14" max="14"/>
    <col width="40" customWidth="1" min="15" max="15"/>
  </cols>
  <sheetData>
    <row r="1">
      <c r="A1" s="13" t="inlineStr">
        <is>
          <t>Process FMEA (AIAG 4th ed. scales)</t>
        </is>
      </c>
    </row>
    <row r="2">
      <c r="A2" t="inlineStr">
        <is>
          <t>RPN action threshold</t>
        </is>
      </c>
      <c r="B2" s="2" t="n">
        <v>100</v>
      </c>
      <c r="D2" t="inlineStr">
        <is>
          <t>Priority: High if S ≥ 9; Medium if RPN ≥ threshold or (S ≥ 7 and O ≥ 4); else Low.</t>
        </is>
      </c>
    </row>
    <row r="4">
      <c r="A4" s="3" t="inlineStr">
        <is>
          <t>ID</t>
        </is>
      </c>
      <c r="B4" s="3" t="inlineStr">
        <is>
          <t>Process step</t>
        </is>
      </c>
      <c r="C4" s="3" t="inlineStr">
        <is>
          <t>Function / requirement</t>
        </is>
      </c>
      <c r="D4" s="3" t="inlineStr">
        <is>
          <t>Failure mode</t>
        </is>
      </c>
      <c r="E4" s="3" t="inlineStr">
        <is>
          <t>Effect</t>
        </is>
      </c>
      <c r="F4" s="3" t="inlineStr">
        <is>
          <t>S</t>
        </is>
      </c>
      <c r="G4" s="3" t="inlineStr">
        <is>
          <t>Cause</t>
        </is>
      </c>
      <c r="H4" s="3" t="inlineStr">
        <is>
          <t>O</t>
        </is>
      </c>
      <c r="I4" s="3" t="inlineStr">
        <is>
          <t>Prevention control</t>
        </is>
      </c>
      <c r="J4" s="3" t="inlineStr">
        <is>
          <t>Detection control</t>
        </is>
      </c>
      <c r="K4" s="3" t="inlineStr">
        <is>
          <t>D</t>
        </is>
      </c>
      <c r="L4" s="3" t="inlineStr">
        <is>
          <t>RPN</t>
        </is>
      </c>
      <c r="M4" s="3" t="inlineStr">
        <is>
          <t>Priority</t>
        </is>
      </c>
      <c r="N4" s="3" t="inlineStr">
        <is>
          <t>Class</t>
        </is>
      </c>
      <c r="O4" s="3" t="inlineStr">
        <is>
          <t>Recommended action</t>
        </is>
      </c>
    </row>
    <row r="5">
      <c r="A5" s="16" t="inlineStr">
        <is>
          <t>F1</t>
        </is>
      </c>
      <c r="B5" s="16" t="inlineStr">
        <is>
          <t>OP10 Bore housing</t>
        </is>
      </c>
      <c r="C5" s="16" t="inlineStr">
        <is>
          <t>Bore depth 53.28 ±0.08</t>
        </is>
      </c>
      <c r="D5" s="16" t="inlineStr">
        <is>
          <t>Bore depth oversize</t>
        </is>
      </c>
      <c r="E5" s="16" t="inlineStr">
        <is>
          <t>Excess end play: gear mesh noise and early bearing wear</t>
        </is>
      </c>
      <c r="F5" s="17" t="n">
        <v>7</v>
      </c>
      <c r="G5" s="16" t="inlineStr">
        <is>
          <t>Tool wear / offset drift</t>
        </is>
      </c>
      <c r="H5" s="17" t="n">
        <v>4</v>
      </c>
      <c r="I5" s="16" t="inlineStr">
        <is>
          <t>Tool-life counter</t>
        </is>
      </c>
      <c r="J5" s="16" t="inlineStr">
        <is>
          <t>CMM 1 per 50 parts</t>
        </is>
      </c>
      <c r="K5" s="17" t="n">
        <v>5</v>
      </c>
      <c r="L5" s="16">
        <f>F5*H5*K5</f>
        <v/>
      </c>
      <c r="M5" s="16">
        <f>IF(F5&gt;=9,"High",IF(OR(L5&gt;=$B$2,AND(F5&gt;=7,H5&gt;=4)),"Medium","Low"))</f>
        <v/>
      </c>
      <c r="N5" s="16" t="inlineStr">
        <is>
          <t>SC</t>
        </is>
      </c>
      <c r="O5" s="16" t="inlineStr">
        <is>
          <t>X̄-R chart on depth (n=5 every 2 h); require Cpk ≥ 1.33</t>
        </is>
      </c>
    </row>
    <row r="6">
      <c r="A6" s="16" t="inlineStr">
        <is>
          <t>F2</t>
        </is>
      </c>
      <c r="B6" s="16" t="inlineStr">
        <is>
          <t>OP10 Bore housing</t>
        </is>
      </c>
      <c r="C6" s="16" t="inlineStr">
        <is>
          <t>Bore depth 53.28 ±0.08</t>
        </is>
      </c>
      <c r="D6" s="16" t="inlineStr">
        <is>
          <t>Bore depth undersize</t>
        </is>
      </c>
      <c r="E6" s="16" t="inlineStr">
        <is>
          <t>No end play: bearing preload and overheating</t>
        </is>
      </c>
      <c r="F6" s="17" t="n">
        <v>8</v>
      </c>
      <c r="G6" s="16" t="inlineStr">
        <is>
          <t>Wrong offset after tool change</t>
        </is>
      </c>
      <c r="H6" s="17" t="n">
        <v>3</v>
      </c>
      <c r="I6" s="16" t="inlineStr">
        <is>
          <t>First-piece approval after tool change</t>
        </is>
      </c>
      <c r="J6" s="16" t="inlineStr">
        <is>
          <t>CMM first piece</t>
        </is>
      </c>
      <c r="K6" s="17" t="n">
        <v>4</v>
      </c>
      <c r="L6" s="16">
        <f>F6*H6*K6</f>
        <v/>
      </c>
      <c r="M6" s="16">
        <f>IF(F6&gt;=9,"High",IF(OR(L6&gt;=$B$2,AND(F6&gt;=7,H6&gt;=4)),"Medium","Low"))</f>
        <v/>
      </c>
      <c r="N6" s="16" t="inlineStr">
        <is>
          <t>SC</t>
        </is>
      </c>
      <c r="O6" s="16" t="inlineStr">
        <is>
          <t>Covered by F1 chart</t>
        </is>
      </c>
    </row>
    <row r="7">
      <c r="A7" s="16" t="inlineStr">
        <is>
          <t>F3</t>
        </is>
      </c>
      <c r="B7" s="16" t="inlineStr">
        <is>
          <t>OP20 Turn spacer</t>
        </is>
      </c>
      <c r="C7" s="16" t="inlineStr">
        <is>
          <t>Length 25.00 ±0.05</t>
        </is>
      </c>
      <c r="D7" s="16" t="inlineStr">
        <is>
          <t>Spacer length out of tolerance</t>
        </is>
      </c>
      <c r="E7" s="16" t="inlineStr">
        <is>
          <t>End play out of spec</t>
        </is>
      </c>
      <c r="F7" s="17" t="n">
        <v>7</v>
      </c>
      <c r="G7" s="16" t="inlineStr">
        <is>
          <t>Collet slip / wrong stop setting</t>
        </is>
      </c>
      <c r="H7" s="17" t="n">
        <v>3</v>
      </c>
      <c r="I7" s="16" t="inlineStr">
        <is>
          <t>Setup sheet with stop position</t>
        </is>
      </c>
      <c r="J7" s="16" t="inlineStr">
        <is>
          <t>Micrometer 5 per 2 h</t>
        </is>
      </c>
      <c r="K7" s="17" t="n">
        <v>4</v>
      </c>
      <c r="L7" s="16">
        <f>F7*H7*K7</f>
        <v/>
      </c>
      <c r="M7" s="16">
        <f>IF(F7&gt;=9,"High",IF(OR(L7&gt;=$B$2,AND(F7&gt;=7,H7&gt;=4)),"Medium","Low"))</f>
        <v/>
      </c>
      <c r="N7" s="16" t="inlineStr">
        <is>
          <t>SC</t>
        </is>
      </c>
      <c r="O7" s="16" t="inlineStr">
        <is>
          <t>X̄-R chart on length; require Cpk ≥ 1.33</t>
        </is>
      </c>
    </row>
    <row r="8">
      <c r="A8" s="16" t="inlineStr">
        <is>
          <t>F4</t>
        </is>
      </c>
      <c r="B8" s="16" t="inlineStr">
        <is>
          <t>OP30 Press bearings</t>
        </is>
      </c>
      <c r="C8" s="16" t="inlineStr">
        <is>
          <t>Seat both bearings against shoulders</t>
        </is>
      </c>
      <c r="D8" s="16" t="inlineStr">
        <is>
          <t>Bearing not fully seated</t>
        </is>
      </c>
      <c r="E8" s="16" t="inlineStr">
        <is>
          <t>False end play reading and bearing damage in service</t>
        </is>
      </c>
      <c r="F8" s="17" t="n">
        <v>8</v>
      </c>
      <c r="G8" s="16" t="inlineStr">
        <is>
          <t>Press stroke short / chip on shoulder</t>
        </is>
      </c>
      <c r="H8" s="17" t="n">
        <v>4</v>
      </c>
      <c r="I8" s="16" t="inlineStr">
        <is>
          <t>Shoulder air-blow before press</t>
        </is>
      </c>
      <c r="J8" s="16" t="inlineStr">
        <is>
          <t>Visual check</t>
        </is>
      </c>
      <c r="K8" s="17" t="n">
        <v>6</v>
      </c>
      <c r="L8" s="16">
        <f>F8*H8*K8</f>
        <v/>
      </c>
      <c r="M8" s="16">
        <f>IF(F8&gt;=9,"High",IF(OR(L8&gt;=$B$2,AND(F8&gt;=7,H8&gt;=4)),"Medium","Low"))</f>
        <v/>
      </c>
      <c r="N8" s="16" t="inlineStr"/>
      <c r="O8" s="16" t="inlineStr">
        <is>
          <t>Add press force-distance monitoring (100%)</t>
        </is>
      </c>
    </row>
    <row r="9">
      <c r="A9" s="16" t="inlineStr">
        <is>
          <t>F5</t>
        </is>
      </c>
      <c r="B9" s="16" t="inlineStr">
        <is>
          <t>OP30 Press bearings</t>
        </is>
      </c>
      <c r="C9" s="16" t="inlineStr">
        <is>
          <t>Install correct bearing (6204)</t>
        </is>
      </c>
      <c r="D9" s="16" t="inlineStr">
        <is>
          <t>Wrong bearing installed</t>
        </is>
      </c>
      <c r="E9" s="16" t="inlineStr">
        <is>
          <t>Load rating too low: field failure</t>
        </is>
      </c>
      <c r="F9" s="17" t="n">
        <v>9</v>
      </c>
      <c r="G9" s="16" t="inlineStr">
        <is>
          <t>Mixed bins at station</t>
        </is>
      </c>
      <c r="H9" s="17" t="n">
        <v>2</v>
      </c>
      <c r="I9" s="16" t="inlineStr">
        <is>
          <t>Single-part-number kitting</t>
        </is>
      </c>
      <c r="J9" s="16" t="inlineStr">
        <is>
          <t>Barcode scan of bearing box</t>
        </is>
      </c>
      <c r="K9" s="17" t="n">
        <v>3</v>
      </c>
      <c r="L9" s="16">
        <f>F9*H9*K9</f>
        <v/>
      </c>
      <c r="M9" s="16">
        <f>IF(F9&gt;=9,"High",IF(OR(L9&gt;=$B$2,AND(F9&gt;=7,H9&gt;=4)),"Medium","Low"))</f>
        <v/>
      </c>
      <c r="N9" s="16" t="inlineStr">
        <is>
          <t>CC</t>
        </is>
      </c>
      <c r="O9" s="16" t="inlineStr">
        <is>
          <t>Interlock press on barcode match</t>
        </is>
      </c>
    </row>
    <row r="10">
      <c r="A10" s="16" t="inlineStr">
        <is>
          <t>F6</t>
        </is>
      </c>
      <c r="B10" s="16" t="inlineStr">
        <is>
          <t>OP40 End play check</t>
        </is>
      </c>
      <c r="C10" s="16" t="inlineStr">
        <is>
          <t>Measure end play 0.10-0.60</t>
        </is>
      </c>
      <c r="D10" s="16" t="inlineStr">
        <is>
          <t>Gauge accepts out-of-spec part</t>
        </is>
      </c>
      <c r="E10" s="16" t="inlineStr">
        <is>
          <t>Escape to customer</t>
        </is>
      </c>
      <c r="F10" s="17" t="n">
        <v>7</v>
      </c>
      <c r="G10" s="16" t="inlineStr">
        <is>
          <t>Gauge wear / fixture play</t>
        </is>
      </c>
      <c r="H10" s="17" t="n">
        <v>3</v>
      </c>
      <c r="I10" s="16" t="inlineStr">
        <is>
          <t>Daily master check</t>
        </is>
      </c>
      <c r="J10" s="16" t="inlineStr">
        <is>
          <t>Annual Gage R&amp;R</t>
        </is>
      </c>
      <c r="K10" s="17" t="n">
        <v>7</v>
      </c>
      <c r="L10" s="16">
        <f>F10*H10*K10</f>
        <v/>
      </c>
      <c r="M10" s="16">
        <f>IF(F10&gt;=9,"High",IF(OR(L10&gt;=$B$2,AND(F10&gt;=7,H10&gt;=4)),"Medium","Low"))</f>
        <v/>
      </c>
      <c r="N10" s="16" t="inlineStr"/>
      <c r="O10" s="16" t="inlineStr">
        <is>
          <t>Gage R&amp;R to &lt;10% study variation; add go/no-go master</t>
        </is>
      </c>
    </row>
    <row r="11">
      <c r="A11" s="16" t="inlineStr">
        <is>
          <t>F7</t>
        </is>
      </c>
      <c r="B11" s="16" t="inlineStr">
        <is>
          <t>OP30 Install retaining ring</t>
        </is>
      </c>
      <c r="C11" s="16" t="inlineStr">
        <is>
          <t>Retain shaft axially</t>
        </is>
      </c>
      <c r="D11" s="16" t="inlineStr">
        <is>
          <t>Retaining ring not seated in groove</t>
        </is>
      </c>
      <c r="E11" s="16" t="inlineStr">
        <is>
          <t>Ring walks out: shaft moves axially and gears disengage</t>
        </is>
      </c>
      <c r="F11" s="17" t="n">
        <v>9</v>
      </c>
      <c r="G11" s="16" t="inlineStr">
        <is>
          <t>Ring tool misaligned</t>
        </is>
      </c>
      <c r="H11" s="17" t="n">
        <v>3</v>
      </c>
      <c r="I11" s="16" t="inlineStr">
        <is>
          <t>Ring applicator with guide</t>
        </is>
      </c>
      <c r="J11" s="16" t="inlineStr">
        <is>
          <t>Operator visual</t>
        </is>
      </c>
      <c r="K11" s="17" t="n">
        <v>4</v>
      </c>
      <c r="L11" s="16">
        <f>F11*H11*K11</f>
        <v/>
      </c>
      <c r="M11" s="16">
        <f>IF(F11&gt;=9,"High",IF(OR(L11&gt;=$B$2,AND(F11&gt;=7,H11&gt;=4)),"Medium","Low"))</f>
        <v/>
      </c>
      <c r="N11" s="16" t="inlineStr">
        <is>
          <t>CC</t>
        </is>
      </c>
      <c r="O11" s="16" t="inlineStr">
        <is>
          <t>100% ring-seated sensor check</t>
        </is>
      </c>
    </row>
  </sheetData>
  <conditionalFormatting sqref="M5:M11">
    <cfRule type="cellIs" priority="1" operator="equal" dxfId="1">
      <formula>"High"</formula>
    </cfRule>
    <cfRule type="cellIs" priority="2" operator="equal" dxfId="2">
      <formula>"Medium"</formula>
    </cfRule>
    <cfRule type="cellIs" priority="3" operator="equal" dxfId="0">
      <formula>"Low"</formula>
    </cfRule>
  </conditionalFormatting>
  <conditionalFormatting sqref="F5:F11">
    <cfRule type="expression" priority="4" dxfId="1">
      <formula>F5&gt;=9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7" customWidth="1" min="3" max="3"/>
    <col width="9" customWidth="1" min="4" max="4"/>
    <col width="9" customWidth="1" min="5" max="5"/>
    <col width="26" customWidth="1" min="6" max="6"/>
    <col width="10" customWidth="1" min="7" max="7"/>
    <col width="14" customWidth="1" min="8" max="8"/>
    <col width="22" customWidth="1" min="9" max="9"/>
    <col width="10" customWidth="1" min="10" max="10"/>
    <col width="40" customWidth="1" min="11" max="11"/>
    <col width="10" customWidth="1" min="12" max="12"/>
    <col width="24" customWidth="1" min="13" max="13"/>
  </cols>
  <sheetData>
    <row r="1">
      <c r="A1" s="13" t="inlineStr">
        <is>
          <t>Control plan (production)</t>
        </is>
      </c>
    </row>
    <row r="3">
      <c r="A3" s="3" t="inlineStr">
        <is>
          <t>Process step</t>
        </is>
      </c>
      <c r="B3" s="3" t="inlineStr">
        <is>
          <t>Characteristic</t>
        </is>
      </c>
      <c r="C3" s="3" t="inlineStr">
        <is>
          <t>Class</t>
        </is>
      </c>
      <c r="D3" s="3" t="inlineStr">
        <is>
          <t>LSL</t>
        </is>
      </c>
      <c r="E3" s="3" t="inlineStr">
        <is>
          <t>USL</t>
        </is>
      </c>
      <c r="F3" s="3" t="inlineStr">
        <is>
          <t>Measurement method</t>
        </is>
      </c>
      <c r="G3" s="3" t="inlineStr">
        <is>
          <t>Sample size</t>
        </is>
      </c>
      <c r="H3" s="3" t="inlineStr">
        <is>
          <t>Frequency</t>
        </is>
      </c>
      <c r="I3" s="3" t="inlineStr">
        <is>
          <t>Control method</t>
        </is>
      </c>
      <c r="J3" s="3" t="inlineStr">
        <is>
          <t>Required Cpk</t>
        </is>
      </c>
      <c r="K3" s="3" t="inlineStr">
        <is>
          <t>Reaction plan</t>
        </is>
      </c>
      <c r="L3" s="3" t="inlineStr">
        <is>
          <t>PFMEA ref</t>
        </is>
      </c>
      <c r="M3" s="3" t="inlineStr">
        <is>
          <t>Stack-up dimension</t>
        </is>
      </c>
    </row>
    <row r="4">
      <c r="A4" s="16" t="inlineStr">
        <is>
          <t>OP10 Bore housing</t>
        </is>
      </c>
      <c r="B4" s="16" t="inlineStr">
        <is>
          <t>Housing bore depth</t>
        </is>
      </c>
      <c r="C4" s="16" t="inlineStr">
        <is>
          <t>SC</t>
        </is>
      </c>
      <c r="D4" s="16" t="n">
        <v>53.2</v>
      </c>
      <c r="E4" s="16" t="n">
        <v>53.36</v>
      </c>
      <c r="F4" s="16" t="inlineStr">
        <is>
          <t>CMM / depth micrometer</t>
        </is>
      </c>
      <c r="G4" s="16" t="inlineStr">
        <is>
          <t>5</t>
        </is>
      </c>
      <c r="H4" s="16" t="inlineStr">
        <is>
          <t>Every 2 h</t>
        </is>
      </c>
      <c r="I4" s="16" t="inlineStr">
        <is>
          <t>X̄-R chart</t>
        </is>
      </c>
      <c r="J4" s="16" t="n">
        <v>1.33</v>
      </c>
      <c r="K4" s="16" t="inlineStr">
        <is>
          <t>Stop, quarantine back to last good subgroup, adjust offset, 100% sort</t>
        </is>
      </c>
      <c r="L4" s="16" t="inlineStr">
        <is>
          <t>F1</t>
        </is>
      </c>
      <c r="M4" s="16" t="inlineStr">
        <is>
          <t>Housing bore depth (A)</t>
        </is>
      </c>
    </row>
    <row r="5">
      <c r="A5" s="16" t="inlineStr">
        <is>
          <t>OP10 Bore housing</t>
        </is>
      </c>
      <c r="B5" s="16" t="inlineStr">
        <is>
          <t>First piece after tool change</t>
        </is>
      </c>
      <c r="C5" s="16" t="inlineStr">
        <is>
          <t>SC</t>
        </is>
      </c>
      <c r="D5" s="16" t="n">
        <v>53.2</v>
      </c>
      <c r="E5" s="16" t="n">
        <v>53.36</v>
      </c>
      <c r="F5" s="16" t="inlineStr">
        <is>
          <t>CMM</t>
        </is>
      </c>
      <c r="G5" s="16" t="inlineStr">
        <is>
          <t>1</t>
        </is>
      </c>
      <c r="H5" s="16" t="inlineStr">
        <is>
          <t>Each tool change</t>
        </is>
      </c>
      <c r="I5" s="16" t="inlineStr">
        <is>
          <t>First-piece approval</t>
        </is>
      </c>
      <c r="J5" s="16" t="n"/>
      <c r="K5" s="16" t="inlineStr">
        <is>
          <t>Do not release until approved</t>
        </is>
      </c>
      <c r="L5" s="16" t="inlineStr">
        <is>
          <t>F2</t>
        </is>
      </c>
      <c r="M5" s="16" t="inlineStr"/>
    </row>
    <row r="6">
      <c r="A6" s="16" t="inlineStr">
        <is>
          <t>OP20 Turn spacer</t>
        </is>
      </c>
      <c r="B6" s="16" t="inlineStr">
        <is>
          <t>Spacer length</t>
        </is>
      </c>
      <c r="C6" s="16" t="inlineStr">
        <is>
          <t>SC</t>
        </is>
      </c>
      <c r="D6" s="16" t="n">
        <v>24.95</v>
      </c>
      <c r="E6" s="16" t="n">
        <v>25.05</v>
      </c>
      <c r="F6" s="16" t="inlineStr">
        <is>
          <t>Micrometer</t>
        </is>
      </c>
      <c r="G6" s="16" t="inlineStr">
        <is>
          <t>5</t>
        </is>
      </c>
      <c r="H6" s="16" t="inlineStr">
        <is>
          <t>Every 2 h</t>
        </is>
      </c>
      <c r="I6" s="16" t="inlineStr">
        <is>
          <t>X̄-R chart</t>
        </is>
      </c>
      <c r="J6" s="16" t="n">
        <v>1.33</v>
      </c>
      <c r="K6" s="16" t="inlineStr">
        <is>
          <t>Stop, quarantine, correct stop setting, 100% sort</t>
        </is>
      </c>
      <c r="L6" s="16" t="inlineStr">
        <is>
          <t>F3</t>
        </is>
      </c>
      <c r="M6" s="16" t="inlineStr">
        <is>
          <t>Spacer length (C)</t>
        </is>
      </c>
    </row>
    <row r="7">
      <c r="A7" s="16" t="inlineStr">
        <is>
          <t>Receiving</t>
        </is>
      </c>
      <c r="B7" s="16" t="inlineStr">
        <is>
          <t>Bearing 1 width</t>
        </is>
      </c>
      <c r="C7" s="16" t="inlineStr"/>
      <c r="D7" s="16" t="n">
        <v>13.88</v>
      </c>
      <c r="E7" s="16" t="n">
        <v>14</v>
      </c>
      <c r="F7" s="16" t="inlineStr">
        <is>
          <t>Supplier CoC + micrometer audit</t>
        </is>
      </c>
      <c r="G7" s="16" t="inlineStr">
        <is>
          <t>5 per lot</t>
        </is>
      </c>
      <c r="H7" s="16" t="inlineStr">
        <is>
          <t>Each lot</t>
        </is>
      </c>
      <c r="I7" s="16" t="inlineStr">
        <is>
          <t>Incoming inspection</t>
        </is>
      </c>
      <c r="J7" s="16" t="n"/>
      <c r="K7" s="16" t="inlineStr">
        <is>
          <t>Reject lot and raise SCAR</t>
        </is>
      </c>
      <c r="L7" s="16" t="inlineStr"/>
      <c r="M7" s="16" t="inlineStr">
        <is>
          <t>Bearing 1 width (B)</t>
        </is>
      </c>
    </row>
    <row r="8">
      <c r="A8" s="16" t="inlineStr">
        <is>
          <t>Receiving</t>
        </is>
      </c>
      <c r="B8" s="16" t="inlineStr">
        <is>
          <t>Bearing 2 width</t>
        </is>
      </c>
      <c r="C8" s="16" t="inlineStr"/>
      <c r="D8" s="16" t="n">
        <v>13.88</v>
      </c>
      <c r="E8" s="16" t="n">
        <v>14</v>
      </c>
      <c r="F8" s="16" t="inlineStr">
        <is>
          <t>Supplier CoC + micrometer audit</t>
        </is>
      </c>
      <c r="G8" s="16" t="inlineStr">
        <is>
          <t>5 per lot</t>
        </is>
      </c>
      <c r="H8" s="16" t="inlineStr">
        <is>
          <t>Each lot</t>
        </is>
      </c>
      <c r="I8" s="16" t="inlineStr">
        <is>
          <t>Incoming inspection</t>
        </is>
      </c>
      <c r="J8" s="16" t="n"/>
      <c r="K8" s="16" t="inlineStr">
        <is>
          <t>Reject lot and raise SCAR</t>
        </is>
      </c>
      <c r="L8" s="16" t="inlineStr"/>
      <c r="M8" s="16" t="inlineStr">
        <is>
          <t>Bearing 2 width (D)</t>
        </is>
      </c>
    </row>
    <row r="9">
      <c r="A9" s="16" t="inlineStr">
        <is>
          <t>OP30 Press bearings</t>
        </is>
      </c>
      <c r="B9" s="16" t="inlineStr">
        <is>
          <t>Bearing seated (force-distance window)</t>
        </is>
      </c>
      <c r="C9" s="16" t="inlineStr"/>
      <c r="D9" s="16" t="n"/>
      <c r="E9" s="16" t="n"/>
      <c r="F9" s="16" t="inlineStr">
        <is>
          <t>Press monitor</t>
        </is>
      </c>
      <c r="G9" s="16" t="inlineStr">
        <is>
          <t>100%</t>
        </is>
      </c>
      <c r="H9" s="16" t="inlineStr">
        <is>
          <t>Every part</t>
        </is>
      </c>
      <c r="I9" s="16" t="inlineStr">
        <is>
          <t>Automatic monitoring</t>
        </is>
      </c>
      <c r="J9" s="16" t="n"/>
      <c r="K9" s="16" t="inlineStr">
        <is>
          <t>Auto-reject to red bin; engineer review</t>
        </is>
      </c>
      <c r="L9" s="16" t="inlineStr">
        <is>
          <t>F4</t>
        </is>
      </c>
      <c r="M9" s="16" t="inlineStr"/>
    </row>
    <row r="10">
      <c r="A10" s="16" t="inlineStr">
        <is>
          <t>OP30 Press bearings</t>
        </is>
      </c>
      <c r="B10" s="16" t="inlineStr">
        <is>
          <t>Bearing part number</t>
        </is>
      </c>
      <c r="C10" s="16" t="inlineStr">
        <is>
          <t>CC</t>
        </is>
      </c>
      <c r="D10" s="16" t="n"/>
      <c r="E10" s="16" t="n"/>
      <c r="F10" s="16" t="inlineStr">
        <is>
          <t>Barcode scan</t>
        </is>
      </c>
      <c r="G10" s="16" t="inlineStr">
        <is>
          <t>100%</t>
        </is>
      </c>
      <c r="H10" s="16" t="inlineStr">
        <is>
          <t>Every part</t>
        </is>
      </c>
      <c r="I10" s="16" t="inlineStr">
        <is>
          <t>Poka-yoke interlock</t>
        </is>
      </c>
      <c r="J10" s="16" t="n"/>
      <c r="K10" s="16" t="inlineStr">
        <is>
          <t>Press locked out; supervisor to clear</t>
        </is>
      </c>
      <c r="L10" s="16" t="inlineStr">
        <is>
          <t>F5</t>
        </is>
      </c>
      <c r="M10" s="16" t="inlineStr"/>
    </row>
    <row r="11">
      <c r="A11" s="16" t="inlineStr">
        <is>
          <t>OP30 Install retaining ring</t>
        </is>
      </c>
      <c r="B11" s="16" t="inlineStr">
        <is>
          <t>Ring seated in groove</t>
        </is>
      </c>
      <c r="C11" s="16" t="inlineStr">
        <is>
          <t>CC</t>
        </is>
      </c>
      <c r="D11" s="16" t="n"/>
      <c r="E11" s="16" t="n"/>
      <c r="F11" s="16" t="inlineStr">
        <is>
          <t>Ring-seated sensor</t>
        </is>
      </c>
      <c r="G11" s="16" t="inlineStr">
        <is>
          <t>100%</t>
        </is>
      </c>
      <c r="H11" s="16" t="inlineStr">
        <is>
          <t>Every part</t>
        </is>
      </c>
      <c r="I11" s="16" t="inlineStr">
        <is>
          <t>Error-proofing sensor</t>
        </is>
      </c>
      <c r="J11" s="16" t="n"/>
      <c r="K11" s="16" t="inlineStr">
        <is>
          <t>Auto-reject; check applicator</t>
        </is>
      </c>
      <c r="L11" s="16" t="inlineStr">
        <is>
          <t>F7</t>
        </is>
      </c>
      <c r="M11" s="16" t="inlineStr"/>
    </row>
    <row r="12">
      <c r="A12" s="16" t="inlineStr">
        <is>
          <t>OP40 End play check</t>
        </is>
      </c>
      <c r="B12" s="16" t="inlineStr">
        <is>
          <t>Shaft end play</t>
        </is>
      </c>
      <c r="C12" s="16" t="inlineStr">
        <is>
          <t>SC</t>
        </is>
      </c>
      <c r="D12" s="16" t="n">
        <v>0.1</v>
      </c>
      <c r="E12" s="16" t="n">
        <v>0.6</v>
      </c>
      <c r="F12" s="16" t="inlineStr">
        <is>
          <t>Dial indicator fixture</t>
        </is>
      </c>
      <c r="G12" s="16" t="inlineStr">
        <is>
          <t>100%</t>
        </is>
      </c>
      <c r="H12" s="16" t="inlineStr">
        <is>
          <t>Every part</t>
        </is>
      </c>
      <c r="I12" s="16" t="inlineStr">
        <is>
          <t>Gauge check + daily master</t>
        </is>
      </c>
      <c r="J12" s="16" t="n"/>
      <c r="K12" s="16" t="inlineStr">
        <is>
          <t>Quarantine since last master check; re-verify gauge</t>
        </is>
      </c>
      <c r="L12" s="16" t="inlineStr">
        <is>
          <t>F6</t>
        </is>
      </c>
      <c r="M12" s="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13" t="inlineStr">
        <is>
          <t>Traceability checks: PFMEA ↔ control plan ↔ stack-up assumptions</t>
        </is>
      </c>
    </row>
    <row r="3">
      <c r="A3" s="3" t="inlineStr">
        <is>
          <t>Level</t>
        </is>
      </c>
      <c r="B3" s="3" t="inlineStr">
        <is>
          <t>Finding</t>
        </is>
      </c>
    </row>
    <row r="4">
      <c r="A4" s="18" t="inlineStr">
        <is>
          <t>OK</t>
        </is>
      </c>
      <c r="B4" t="inlineStr">
        <is>
          <t>Every special characteristic and Medium/High PFMEA line is controlled, and every Cp the stack-up assumes is required by the control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2026-10-23T18:14:03Z</dcterms:created>
  <dcterms:modified xsi:type="dcterms:W3CDTF">2026-10-23T18:14:03Z</dcterms:modified>
</cp:coreProperties>
</file>